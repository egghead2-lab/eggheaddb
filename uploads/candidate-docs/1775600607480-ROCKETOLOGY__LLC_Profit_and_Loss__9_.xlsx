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0" i="1" l="1"/>
</calcChain>
</file>

<file path=xl/sharedStrings.xml><?xml version="1.0" encoding="utf-8"?>
<sst xmlns="http://schemas.openxmlformats.org/spreadsheetml/2006/main" count="83" uniqueCount="80">
  <si>
    <t>Profit and Loss</t>
  </si>
  <si>
    <t>ROCKETOLOGY, LLC</t>
  </si>
  <si>
    <t>January 1-March 31, 2026</t>
  </si>
  <si>
    <t>Income</t>
  </si>
  <si>
    <t>Programs</t>
  </si>
  <si>
    <t>Live Programs</t>
  </si>
  <si>
    <t>Live Classes</t>
  </si>
  <si>
    <t>Engineering Programs</t>
  </si>
  <si>
    <t>Science Programs</t>
  </si>
  <si>
    <t>Total for Live Classes</t>
  </si>
  <si>
    <t>Live Parties</t>
  </si>
  <si>
    <t>Live Workshops</t>
  </si>
  <si>
    <t>Total for Live Programs</t>
  </si>
  <si>
    <t>Other Sales</t>
  </si>
  <si>
    <t>Total for Programs</t>
  </si>
  <si>
    <t>Total for Income</t>
  </si>
  <si>
    <t>Gross Profit</t>
  </si>
  <si>
    <t>Expenses</t>
  </si>
  <si>
    <t>COGS</t>
  </si>
  <si>
    <t>Direct Labor</t>
  </si>
  <si>
    <t>Benefits</t>
  </si>
  <si>
    <t>401K Matches</t>
  </si>
  <si>
    <t>Total for Benefits</t>
  </si>
  <si>
    <t>NY Disability and FML</t>
  </si>
  <si>
    <t>Reimbursements</t>
  </si>
  <si>
    <t>Staffing Tools</t>
  </si>
  <si>
    <t>Taxes</t>
  </si>
  <si>
    <t>Wages</t>
  </si>
  <si>
    <t>Workers Compensation</t>
  </si>
  <si>
    <t>Total for Direct Labor</t>
  </si>
  <si>
    <t>Materials</t>
  </si>
  <si>
    <t>LEGO Bin Rental</t>
  </si>
  <si>
    <t>Parties</t>
  </si>
  <si>
    <t>Professor Shipping</t>
  </si>
  <si>
    <t>Science Bin Rental</t>
  </si>
  <si>
    <t>Science Kits</t>
  </si>
  <si>
    <t>Total for Materials</t>
  </si>
  <si>
    <t>Total for COGS</t>
  </si>
  <si>
    <t>Overhead</t>
  </si>
  <si>
    <t>Administrative Fees/Rentals</t>
  </si>
  <si>
    <t>Dry Ice Costs</t>
  </si>
  <si>
    <t>Finance</t>
  </si>
  <si>
    <t>Accounting Tools</t>
  </si>
  <si>
    <t>Bank Charges</t>
  </si>
  <si>
    <t>Interest</t>
  </si>
  <si>
    <t>Taxes &amp; Licenses</t>
  </si>
  <si>
    <t>Business Licenses</t>
  </si>
  <si>
    <t>Total for Taxes &amp; Licenses</t>
  </si>
  <si>
    <t>Total for Finance</t>
  </si>
  <si>
    <t>Insurance</t>
  </si>
  <si>
    <t>Marketing</t>
  </si>
  <si>
    <t>Office</t>
  </si>
  <si>
    <t>Administrative Tools</t>
  </si>
  <si>
    <t>Total for Office</t>
  </si>
  <si>
    <t>Staffing</t>
  </si>
  <si>
    <t>Field Management</t>
  </si>
  <si>
    <t>401(k) Matching (FM)</t>
  </si>
  <si>
    <t>Total for Field Management</t>
  </si>
  <si>
    <t>Total for Staffing</t>
  </si>
  <si>
    <t>Transportation</t>
  </si>
  <si>
    <t>Total for Overhead</t>
  </si>
  <si>
    <t>PES Fees</t>
  </si>
  <si>
    <t>Business Development Fee</t>
  </si>
  <si>
    <t>Client Management Fee</t>
  </si>
  <si>
    <t>Finance Fee</t>
  </si>
  <si>
    <t>Hiring Fee</t>
  </si>
  <si>
    <t>Licensing Fee</t>
  </si>
  <si>
    <t>New Client Acquisition Fee</t>
  </si>
  <si>
    <t>Scheduling Fee</t>
  </si>
  <si>
    <t>Total for PES Fees</t>
  </si>
  <si>
    <t>Total for Expenses</t>
  </si>
  <si>
    <t>Net Operating Income</t>
  </si>
  <si>
    <t>Other Expenses</t>
  </si>
  <si>
    <t>Amortization</t>
  </si>
  <si>
    <t>Total for Other Expenses</t>
  </si>
  <si>
    <t>Net Other Income</t>
  </si>
  <si>
    <t>Net Income</t>
  </si>
  <si>
    <t/>
  </si>
  <si>
    <t>Total</t>
  </si>
  <si>
    <t>Accrual Basis Tuesday, April 07, 2026 04:51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</si>
</sst>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2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3" fillId="0" borderId="0" xfId="0" applyFont="1"/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0" fillId="0" borderId="0" xfId="0" applyAlignment="1">
      <alignment horizontal="left" indent="4"/>
    </xf>
    <xf numFmtId="0" fontId="3" fillId="0" borderId="0" xfId="0" applyFont="1" applyAlignment="1">
      <alignment horizontal="left" indent="4"/>
    </xf>
    <xf numFmtId="0" fontId="2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3" fillId="0" borderId="0" xfId="0" applyFont="1" applyAlignment="1">
      <alignment horizontal="left" wrapText="1" indent="4"/>
    </xf>
    <xf numFmtId="0" fontId="4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86"/>
  <sheetViews>
    <sheetView tabSelected="1" workbookViewId="0" topLeftCell="A1"/>
  </sheetViews>
  <sheetFormatPr defaultColWidth="11.255" defaultRowHeight="16"/>
  <cols>
    <col min="1" max="1" width="23.875" style="45" customWidth="1"/>
    <col min="2" max="2" width="16.125" style="45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2" ht="16">
      <c r="A5" s="47" t="s">
        <v>77</v>
      </c>
      <c r="B5" s="47" t="s">
        <v>78</v>
      </c>
    </row>
    <row r="6" spans="1:1" ht="16">
      <c r="A6" s="36" t="s">
        <v>3</v>
      </c>
    </row>
    <row r="7" spans="1:2" ht="16">
      <c r="A7" s="37" t="s">
        <v>4</v>
      </c>
      <c r="B7" s="48">
        <v>100.0</v>
      </c>
    </row>
    <row r="8" spans="1:2" ht="16">
      <c r="A8" s="38" t="s">
        <v>5</v>
      </c>
      <c r="B8" s="49"/>
    </row>
    <row r="9" spans="1:2" ht="16">
      <c r="A9" s="39" t="s">
        <v>6</v>
      </c>
      <c r="B9" s="48">
        <v>185449.01</v>
      </c>
    </row>
    <row r="10" spans="1:2" ht="16">
      <c r="A10" s="40" t="s">
        <v>7</v>
      </c>
      <c r="B10" s="48">
        <v>172466.0</v>
      </c>
    </row>
    <row r="11" spans="1:2" ht="16">
      <c r="A11" s="40" t="s">
        <v>8</v>
      </c>
      <c r="B11" s="48">
        <v>428575.2</v>
      </c>
    </row>
    <row r="12" spans="1:2" ht="16">
      <c r="A12" s="41" t="s">
        <v>9</v>
      </c>
      <c r="B12" s="50">
        <f>B9+B10+B11</f>
        <v>786490.21</v>
      </c>
    </row>
    <row r="13" spans="1:2" ht="16">
      <c r="A13" s="39" t="s">
        <v>10</v>
      </c>
      <c r="B13" s="48">
        <v>36540.0</v>
      </c>
    </row>
    <row r="14" spans="1:2" ht="16">
      <c r="A14" s="39" t="s">
        <v>11</v>
      </c>
      <c r="B14" s="48">
        <v>7400.0</v>
      </c>
    </row>
    <row r="15" spans="1:2" ht="16">
      <c r="A15" s="42" t="s">
        <v>12</v>
      </c>
      <c r="B15" s="50">
        <f>B8+B12+B13+B14</f>
        <v>830430.21</v>
      </c>
    </row>
    <row r="16" spans="1:2" ht="16">
      <c r="A16" s="38" t="s">
        <v>13</v>
      </c>
      <c r="B16" s="48">
        <v>433.28</v>
      </c>
    </row>
    <row r="17" spans="1:2" ht="16">
      <c r="A17" s="43" t="s">
        <v>14</v>
      </c>
      <c r="B17" s="50">
        <f>B7+B15+B16</f>
        <v>830963.49</v>
      </c>
    </row>
    <row r="18" spans="1:2" ht="16">
      <c r="A18" s="44" t="s">
        <v>15</v>
      </c>
      <c r="B18" s="50">
        <f>B17</f>
        <v>830963.49</v>
      </c>
    </row>
    <row r="19" spans="1:2" ht="16">
      <c r="A19" s="44" t="s">
        <v>16</v>
      </c>
      <c r="B19" s="50">
        <v>830963.49</v>
      </c>
    </row>
    <row r="20" spans="1:1" ht="16">
      <c r="A20" s="36" t="s">
        <v>17</v>
      </c>
    </row>
    <row r="21" spans="1:2" ht="16">
      <c r="A21" s="37" t="s">
        <v>18</v>
      </c>
      <c r="B21" s="49"/>
    </row>
    <row r="22" spans="1:2" ht="16">
      <c r="A22" s="38" t="s">
        <v>19</v>
      </c>
      <c r="B22" s="49"/>
    </row>
    <row r="23" spans="1:2" ht="16">
      <c r="A23" s="39" t="s">
        <v>20</v>
      </c>
      <c r="B23" s="49"/>
    </row>
    <row r="24" spans="1:2" ht="16">
      <c r="A24" s="40" t="s">
        <v>21</v>
      </c>
      <c r="B24" s="48">
        <v>2493.61</v>
      </c>
    </row>
    <row r="25" spans="1:2" ht="16">
      <c r="A25" s="41" t="s">
        <v>22</v>
      </c>
      <c r="B25" s="50">
        <f>B23+B24</f>
        <v>2493.61</v>
      </c>
    </row>
    <row r="26" spans="1:2" ht="16">
      <c r="A26" s="39" t="s">
        <v>23</v>
      </c>
      <c r="B26" s="48">
        <v>147.84</v>
      </c>
    </row>
    <row r="27" spans="1:2" ht="16">
      <c r="A27" s="39" t="s">
        <v>24</v>
      </c>
      <c r="B27" s="48">
        <v>8504.08</v>
      </c>
    </row>
    <row r="28" spans="1:2" ht="16">
      <c r="A28" s="39" t="s">
        <v>25</v>
      </c>
      <c r="B28" s="48">
        <v>5434.43</v>
      </c>
    </row>
    <row r="29" spans="1:2" ht="16">
      <c r="A29" s="39" t="s">
        <v>26</v>
      </c>
      <c r="B29" s="48">
        <v>30636.01</v>
      </c>
    </row>
    <row r="30" spans="1:2" ht="16">
      <c r="A30" s="39" t="s">
        <v>27</v>
      </c>
      <c r="B30" s="48">
        <v>193146.5</v>
      </c>
    </row>
    <row r="31" spans="1:2" ht="16">
      <c r="A31" s="39" t="s">
        <v>28</v>
      </c>
      <c r="B31" s="48">
        <v>2106.81</v>
      </c>
    </row>
    <row r="32" spans="1:2" ht="16">
      <c r="A32" s="42" t="s">
        <v>29</v>
      </c>
      <c r="B32" s="50">
        <f>B22+B25+B26+B27+B28+B29+B30+B31</f>
        <v>242469.28</v>
      </c>
    </row>
    <row r="33" spans="1:2" ht="16">
      <c r="A33" s="38" t="s">
        <v>30</v>
      </c>
      <c r="B33" s="49"/>
    </row>
    <row r="34" spans="1:2" ht="16">
      <c r="A34" s="39" t="s">
        <v>31</v>
      </c>
      <c r="B34" s="48">
        <v>6730.0</v>
      </c>
    </row>
    <row r="35" spans="1:2" ht="16">
      <c r="A35" s="39" t="s">
        <v>32</v>
      </c>
      <c r="B35" s="48">
        <v>3778.71</v>
      </c>
    </row>
    <row r="36" spans="1:2" ht="16">
      <c r="A36" s="39" t="s">
        <v>33</v>
      </c>
      <c r="B36" s="48">
        <v>10139.5</v>
      </c>
    </row>
    <row r="37" spans="1:2" ht="16">
      <c r="A37" s="39" t="s">
        <v>34</v>
      </c>
      <c r="B37" s="48">
        <v>889.0</v>
      </c>
    </row>
    <row r="38" spans="1:2" ht="16">
      <c r="A38" s="39" t="s">
        <v>35</v>
      </c>
      <c r="B38" s="48">
        <v>54105.01</v>
      </c>
    </row>
    <row r="39" spans="1:2" ht="16">
      <c r="A39" s="42" t="s">
        <v>36</v>
      </c>
      <c r="B39" s="50">
        <f>B33+B34+B35+B36+B37+B38</f>
        <v>75642.22</v>
      </c>
    </row>
    <row r="40" spans="1:2" ht="16">
      <c r="A40" s="43" t="s">
        <v>37</v>
      </c>
      <c r="B40" s="50">
        <f>B21+B32+B39</f>
        <v>318111.5</v>
      </c>
    </row>
    <row r="41" spans="1:2" ht="16">
      <c r="A41" s="37" t="s">
        <v>38</v>
      </c>
      <c r="B41" s="49"/>
    </row>
    <row r="42" spans="1:2" ht="16">
      <c r="A42" s="38" t="s">
        <v>39</v>
      </c>
      <c r="B42" s="48">
        <v>4200.27</v>
      </c>
    </row>
    <row r="43" spans="1:2" ht="16">
      <c r="A43" s="38" t="s">
        <v>40</v>
      </c>
      <c r="B43" s="48">
        <v>266.09</v>
      </c>
    </row>
    <row r="44" spans="1:2" ht="16">
      <c r="A44" s="38" t="s">
        <v>41</v>
      </c>
      <c r="B44" s="49"/>
    </row>
    <row r="45" spans="1:2" ht="16">
      <c r="A45" s="39" t="s">
        <v>42</v>
      </c>
      <c r="B45" s="48">
        <v>345.0</v>
      </c>
    </row>
    <row r="46" spans="1:2" ht="16">
      <c r="A46" s="39" t="s">
        <v>43</v>
      </c>
      <c r="B46" s="48">
        <v>459.72</v>
      </c>
    </row>
    <row r="47" spans="1:2" ht="16">
      <c r="A47" s="39" t="s">
        <v>44</v>
      </c>
      <c r="B47" s="48">
        <v>4430.14</v>
      </c>
    </row>
    <row r="48" spans="1:2" ht="16">
      <c r="A48" s="39" t="s">
        <v>45</v>
      </c>
      <c r="B48" s="48">
        <v>353.0</v>
      </c>
    </row>
    <row r="49" spans="1:2" ht="16">
      <c r="A49" s="40" t="s">
        <v>46</v>
      </c>
      <c r="B49" s="48">
        <v>1742.25</v>
      </c>
    </row>
    <row r="50" spans="1:2" ht="16">
      <c r="A50" s="41" t="s">
        <v>47</v>
      </c>
      <c r="B50" s="50">
        <f>B48+B49</f>
        <v>2095.25</v>
      </c>
    </row>
    <row r="51" spans="1:2" ht="16">
      <c r="A51" s="42" t="s">
        <v>48</v>
      </c>
      <c r="B51" s="50">
        <f>B44+B45+B46+B47+B50</f>
        <v>7330.110000000001</v>
      </c>
    </row>
    <row r="52" spans="1:2" ht="16">
      <c r="A52" s="38" t="s">
        <v>49</v>
      </c>
      <c r="B52" s="48">
        <v>5349.26</v>
      </c>
    </row>
    <row r="53" spans="1:2" ht="16">
      <c r="A53" s="38" t="s">
        <v>50</v>
      </c>
      <c r="B53" s="48">
        <v>35.0</v>
      </c>
    </row>
    <row r="54" spans="1:2" ht="16">
      <c r="A54" s="38" t="s">
        <v>51</v>
      </c>
      <c r="B54" s="48">
        <v>1352.57</v>
      </c>
    </row>
    <row r="55" spans="1:2" ht="16">
      <c r="A55" s="39" t="s">
        <v>52</v>
      </c>
      <c r="B55" s="48">
        <v>270.86</v>
      </c>
    </row>
    <row r="56" spans="1:2" ht="16">
      <c r="A56" s="42" t="s">
        <v>53</v>
      </c>
      <c r="B56" s="50">
        <f>B54+B55</f>
        <v>1623.4299999999998</v>
      </c>
    </row>
    <row r="57" spans="1:2" ht="16">
      <c r="A57" s="38" t="s">
        <v>54</v>
      </c>
      <c r="B57" s="49"/>
    </row>
    <row r="58" spans="1:2" ht="16">
      <c r="A58" s="39" t="s">
        <v>55</v>
      </c>
      <c r="B58" s="48">
        <v>604.64</v>
      </c>
    </row>
    <row r="59" spans="1:2" ht="16">
      <c r="A59" s="40" t="s">
        <v>56</v>
      </c>
      <c r="B59" s="48">
        <v>50.63</v>
      </c>
    </row>
    <row r="60" spans="1:2" ht="16">
      <c r="A60" s="40" t="s">
        <v>24</v>
      </c>
      <c r="B60" s="48">
        <v>1071.85</v>
      </c>
    </row>
    <row r="61" spans="1:2" ht="16">
      <c r="A61" s="40" t="s">
        <v>26</v>
      </c>
      <c r="B61" s="48">
        <v>3651.89</v>
      </c>
    </row>
    <row r="62" spans="1:2" ht="16">
      <c r="A62" s="40" t="s">
        <v>27</v>
      </c>
      <c r="B62" s="48">
        <v>25208.14</v>
      </c>
    </row>
    <row r="63" spans="1:2" ht="16">
      <c r="A63" s="41" t="s">
        <v>57</v>
      </c>
      <c r="B63" s="50">
        <f>B58+B59+B60+B61+B62</f>
        <v>30587.15</v>
      </c>
    </row>
    <row r="64" spans="1:2" ht="16">
      <c r="A64" s="42" t="s">
        <v>58</v>
      </c>
      <c r="B64" s="50">
        <f>B57+B63</f>
        <v>30587.15</v>
      </c>
    </row>
    <row r="65" spans="1:2" ht="16">
      <c r="A65" s="38" t="s">
        <v>59</v>
      </c>
      <c r="B65" s="48">
        <v>380.4</v>
      </c>
    </row>
    <row r="66" spans="1:2" ht="16">
      <c r="A66" s="43" t="s">
        <v>60</v>
      </c>
      <c r="B66" s="50">
        <f>B41+B42+B43+B51+B52+B53+B56+B64+B65</f>
        <v>49771.71000000001</v>
      </c>
    </row>
    <row r="67" spans="1:2" ht="16">
      <c r="A67" s="37" t="s">
        <v>61</v>
      </c>
      <c r="B67" s="49"/>
    </row>
    <row r="68" spans="1:2" ht="16">
      <c r="A68" s="38" t="s">
        <v>62</v>
      </c>
      <c r="B68" s="48">
        <v>35875.0</v>
      </c>
    </row>
    <row r="69" spans="1:2" ht="16">
      <c r="A69" s="38" t="s">
        <v>63</v>
      </c>
      <c r="B69" s="48">
        <v>71749.0</v>
      </c>
    </row>
    <row r="70" spans="1:2" ht="16">
      <c r="A70" s="38" t="s">
        <v>64</v>
      </c>
      <c r="B70" s="48">
        <v>17938.0</v>
      </c>
    </row>
    <row r="71" spans="1:2" ht="16">
      <c r="A71" s="38" t="s">
        <v>65</v>
      </c>
      <c r="B71" s="48">
        <v>71749.0</v>
      </c>
    </row>
    <row r="72" spans="1:2" ht="16">
      <c r="A72" s="38" t="s">
        <v>66</v>
      </c>
      <c r="B72" s="48">
        <v>72656.2</v>
      </c>
    </row>
    <row r="73" spans="1:2" ht="16">
      <c r="A73" s="38" t="s">
        <v>67</v>
      </c>
      <c r="B73" s="48">
        <v>49451.0</v>
      </c>
    </row>
    <row r="74" spans="1:2" ht="16">
      <c r="A74" s="38" t="s">
        <v>68</v>
      </c>
      <c r="B74" s="48">
        <v>80719.0</v>
      </c>
    </row>
    <row r="75" spans="1:2" ht="16">
      <c r="A75" s="43" t="s">
        <v>69</v>
      </c>
      <c r="B75" s="50">
        <f>B67+B68+B69+B70+B71+B72+B73+B74</f>
        <v>400137.2</v>
      </c>
    </row>
    <row r="76" spans="1:2" ht="16">
      <c r="A76" s="44" t="s">
        <v>70</v>
      </c>
      <c r="B76" s="50">
        <f>B40+B66+B75</f>
        <v>768020.41</v>
      </c>
    </row>
    <row r="77" spans="1:2" ht="16">
      <c r="A77" s="44" t="s">
        <v>71</v>
      </c>
      <c r="B77" s="50">
        <v>62943.07999999996</v>
      </c>
    </row>
    <row r="78" spans="1:1" ht="16">
      <c r="A78" s="36" t="s">
        <v>72</v>
      </c>
    </row>
    <row r="79" spans="1:2" ht="16">
      <c r="A79" s="37" t="s">
        <v>73</v>
      </c>
      <c r="B79" s="48">
        <v>-2561.44</v>
      </c>
    </row>
    <row r="80" spans="1:2" ht="16">
      <c r="A80" s="44" t="s">
        <v>74</v>
      </c>
      <c r="B80" s="50">
        <f>B79</f>
        <v>-2561.44</v>
      </c>
    </row>
    <row r="81" spans="1:2" ht="16">
      <c r="A81" s="44" t="s">
        <v>75</v>
      </c>
      <c r="B81" s="50">
        <v>2561.44</v>
      </c>
    </row>
    <row r="82" spans="1:2" ht="16">
      <c r="A82" s="44" t="s">
        <v>76</v>
      </c>
      <c r="B82" s="50">
        <v>65504.51999999996</v>
      </c>
    </row>
    <row r="86" spans="1:1" ht="16">
      <c r="A86" s="51" t="s">
        <v>79</v>
      </c>
    </row>
  </sheetData>
  <mergeCells count="4">
    <mergeCell ref="A1:B1"/>
    <mergeCell ref="A2:B2"/>
    <mergeCell ref="A3:B3"/>
    <mergeCell ref="A86:B8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